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KiCad\Projects\Photogate\"/>
    </mc:Choice>
  </mc:AlternateContent>
  <xr:revisionPtr revIDLastSave="0" documentId="13_ncr:9_{D3A9A161-E8F7-4704-8EB9-D007F330C2CA}" xr6:coauthVersionLast="47" xr6:coauthVersionMax="47" xr10:uidLastSave="{00000000-0000-0000-0000-000000000000}"/>
  <bookViews>
    <workbookView xWindow="38280" yWindow="-120" windowWidth="29040" windowHeight="15720" xr2:uid="{EC09F3C7-91A6-4CC7-A1FE-93CC9C2AE48C}"/>
  </bookViews>
  <sheets>
    <sheet name="PhotogateBOM" sheetId="1" r:id="rId1"/>
  </sheets>
  <calcPr calcId="0"/>
</workbook>
</file>

<file path=xl/calcChain.xml><?xml version="1.0" encoding="utf-8"?>
<calcChain xmlns="http://schemas.openxmlformats.org/spreadsheetml/2006/main">
  <c r="H23" i="1" l="1"/>
  <c r="G22" i="1"/>
  <c r="H22" i="1" s="1"/>
  <c r="O4" i="1"/>
  <c r="P4" i="1" s="1"/>
  <c r="O5" i="1"/>
  <c r="O3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3" i="1"/>
  <c r="G21" i="1"/>
  <c r="H21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G5" i="1"/>
  <c r="G4" i="1"/>
  <c r="G6" i="1"/>
  <c r="G7" i="1"/>
  <c r="G12" i="1"/>
  <c r="G14" i="1"/>
  <c r="G16" i="1"/>
  <c r="G17" i="1"/>
  <c r="G18" i="1"/>
  <c r="G15" i="1"/>
  <c r="P22" i="1" l="1"/>
</calcChain>
</file>

<file path=xl/sharedStrings.xml><?xml version="1.0" encoding="utf-8"?>
<sst xmlns="http://schemas.openxmlformats.org/spreadsheetml/2006/main" count="116" uniqueCount="89">
  <si>
    <t>#</t>
  </si>
  <si>
    <t>Qty</t>
  </si>
  <si>
    <t>Reference</t>
  </si>
  <si>
    <t>Value</t>
  </si>
  <si>
    <t>Description</t>
  </si>
  <si>
    <t>A1</t>
  </si>
  <si>
    <t>Arduino_UNO_R3</t>
  </si>
  <si>
    <t>C1</t>
  </si>
  <si>
    <t>1u</t>
  </si>
  <si>
    <t>C2,C3,C4,C5</t>
  </si>
  <si>
    <t>0.1u</t>
  </si>
  <si>
    <t>DS1</t>
  </si>
  <si>
    <t>WC1602A</t>
  </si>
  <si>
    <t>LCD 16x2 Alphanumeric , 8 bit parallel bus, 5V VDD</t>
  </si>
  <si>
    <t>J1</t>
  </si>
  <si>
    <t>Arduino_Digital_0_7</t>
  </si>
  <si>
    <t>01x08 2.54mm Pin Headers</t>
  </si>
  <si>
    <t>J2</t>
  </si>
  <si>
    <t>Arduino_Digital_8_13</t>
  </si>
  <si>
    <t>01x10 2.54mm Pin Headers</t>
  </si>
  <si>
    <t>J3</t>
  </si>
  <si>
    <t>Arduino_Power</t>
  </si>
  <si>
    <t>J4</t>
  </si>
  <si>
    <t>Arduino_Analog_IN</t>
  </si>
  <si>
    <t>01x06 2.54mm Pin Headers</t>
  </si>
  <si>
    <t>J5,J6,J7,J8</t>
  </si>
  <si>
    <t>Conn_01x02_Pin</t>
  </si>
  <si>
    <t>01x02 2.54mm Pin Headers</t>
  </si>
  <si>
    <t>LD1,LD2</t>
  </si>
  <si>
    <t>LASER-650NM</t>
  </si>
  <si>
    <t>Q1,Q2</t>
  </si>
  <si>
    <t>PT928-6C-F</t>
  </si>
  <si>
    <t>NPN phototransistor, collector/emitter</t>
  </si>
  <si>
    <t>Q3,Q4</t>
  </si>
  <si>
    <t>2N3904</t>
  </si>
  <si>
    <t>0.2A Ic, 40V Vce, Small Signal NPN Transistor, TO-92</t>
  </si>
  <si>
    <t>R1</t>
  </si>
  <si>
    <t>R2,R3</t>
  </si>
  <si>
    <t>100k</t>
  </si>
  <si>
    <t>R4,R5,R7,R8</t>
  </si>
  <si>
    <t>1k</t>
  </si>
  <si>
    <t>R6,R9</t>
  </si>
  <si>
    <t>RV1</t>
  </si>
  <si>
    <t>10k</t>
  </si>
  <si>
    <t>Potentiometer</t>
  </si>
  <si>
    <t>U1,U2,U3</t>
  </si>
  <si>
    <t>SPST-NO Switch</t>
  </si>
  <si>
    <t>6mm x 6mm Tactile Switch</t>
  </si>
  <si>
    <t>Electronics</t>
  </si>
  <si>
    <t>Link</t>
  </si>
  <si>
    <t>https://a.co/d/0jb6LYgm</t>
  </si>
  <si>
    <t>https://www.digikey.com/short/hrb7dw75</t>
  </si>
  <si>
    <t>Stranded twisted pair, 24AWG</t>
  </si>
  <si>
    <t>https://www.digikey.com/short/5j295w20 (cheaper ones can easily be found on amazon)</t>
  </si>
  <si>
    <t>https://www.digikey.com/short/5dwzm9ph</t>
  </si>
  <si>
    <t>https://a.co/d/0a6xKTI6</t>
  </si>
  <si>
    <t>https://a.co/d/0gtx5tss</t>
  </si>
  <si>
    <t>https://a.co/d/00MB8bSj</t>
  </si>
  <si>
    <t>https://a.co/d/0f7wE6Ru</t>
  </si>
  <si>
    <t>https://a.co/d/0gNADgIb</t>
  </si>
  <si>
    <t>Price/unit</t>
  </si>
  <si>
    <t>Total Price</t>
  </si>
  <si>
    <t>https://a.co/d/05KZVKDI</t>
  </si>
  <si>
    <t>https://a.co/d/0iFaSl0f</t>
  </si>
  <si>
    <t>N/A</t>
  </si>
  <si>
    <t>Mechanical</t>
  </si>
  <si>
    <t>Item</t>
  </si>
  <si>
    <t>M3x6 screw</t>
  </si>
  <si>
    <t>M3x10 screw</t>
  </si>
  <si>
    <t>M2x4 screw</t>
  </si>
  <si>
    <t>https://www.homedepot.com/p/Everbilt-1-4-in-20-x-2-in-Zinc-Eye-Bolt-2-Pack-824301/314745414</t>
  </si>
  <si>
    <t>1/4x2" Eye Bolt w/ Nut, 2 pack</t>
  </si>
  <si>
    <t>Laser Mount</t>
  </si>
  <si>
    <t>Phototransistor Mount</t>
  </si>
  <si>
    <t>Light Cover</t>
  </si>
  <si>
    <t>Bottom Case</t>
  </si>
  <si>
    <t>Top Case</t>
  </si>
  <si>
    <t>See attached .f3d, .step, or .3mf file</t>
  </si>
  <si>
    <t>https://a.co/d/0aZcBFy4</t>
  </si>
  <si>
    <t>https://a.co/d/0aZcBFy5</t>
  </si>
  <si>
    <t>https://a.co/d/0aZcBFy6</t>
  </si>
  <si>
    <t>Buttons</t>
  </si>
  <si>
    <t>Text</t>
  </si>
  <si>
    <t>https://a.co/d/081eLbjy</t>
  </si>
  <si>
    <t>Female to Female dupont wires for soldering</t>
  </si>
  <si>
    <t>1/4W 1% Metal Film Resistor</t>
  </si>
  <si>
    <t>Ceramic capacitor</t>
  </si>
  <si>
    <t>Arduino UNO R3</t>
  </si>
  <si>
    <t>5mW Laser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</si>
</sst>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3"/>
    <xf numFmtId="0" fontId="0" fillId="0" borderId="0" xfId="0" applyFill="1"/>
    <xf numFmtId="44" fontId="0" fillId="0" borderId="0" xfId="1" applyFont="1"/>
    <xf numFmtId="164" fontId="0" fillId="0" borderId="0" xfId="1" applyNumberFormat="1" applyFont="1"/>
    <xf numFmtId="0" fontId="18" fillId="0" borderId="0" xfId="43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.co/d/0gNADgIb" TargetMode="External"/><Relationship Id="rId2" Type="http://schemas.openxmlformats.org/officeDocument/2006/relationships/hyperlink" Target="https://a.co/d/00MB8bSj" TargetMode="External"/><Relationship Id="rId1" Type="http://schemas.openxmlformats.org/officeDocument/2006/relationships/hyperlink" Target="https://a.co/d/0gtx5tss" TargetMode="External"/><Relationship Id="rId4" Type="http://schemas.openxmlformats.org/officeDocument/2006/relationships/hyperlink" Target="https://a.co/d/0iFaSl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B85C-0236-4269-BABE-FF78CC196AD7}">
  <dimension ref="A1:P23"/>
  <sheetViews>
    <sheetView tabSelected="1" workbookViewId="0">
      <selection activeCell="E13" sqref="E13"/>
    </sheetView>
  </sheetViews>
  <sheetFormatPr defaultRowHeight="14.5" x14ac:dyDescent="0.35"/>
  <cols>
    <col min="3" max="3" width="11.54296875" bestFit="1" customWidth="1"/>
    <col min="4" max="4" width="18.6328125" bestFit="1" customWidth="1"/>
    <col min="5" max="5" width="45.36328125" bestFit="1" customWidth="1"/>
    <col min="6" max="6" width="37.26953125" customWidth="1"/>
    <col min="7" max="7" width="9.08984375" bestFit="1" customWidth="1"/>
    <col min="8" max="8" width="9.81640625" bestFit="1" customWidth="1"/>
    <col min="13" max="13" width="25.6328125" bestFit="1" customWidth="1"/>
    <col min="14" max="14" width="84" bestFit="1" customWidth="1"/>
    <col min="15" max="15" width="9.08984375" bestFit="1" customWidth="1"/>
  </cols>
  <sheetData>
    <row r="1" spans="1:16" x14ac:dyDescent="0.35">
      <c r="A1" t="s">
        <v>48</v>
      </c>
      <c r="K1" t="s">
        <v>65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49</v>
      </c>
      <c r="G2" t="s">
        <v>60</v>
      </c>
      <c r="H2" t="s">
        <v>61</v>
      </c>
      <c r="K2" t="s">
        <v>0</v>
      </c>
      <c r="L2" t="s">
        <v>1</v>
      </c>
      <c r="M2" t="s">
        <v>66</v>
      </c>
      <c r="N2" t="s">
        <v>49</v>
      </c>
      <c r="O2" t="s">
        <v>60</v>
      </c>
      <c r="P2" t="s">
        <v>61</v>
      </c>
    </row>
    <row r="3" spans="1:16" x14ac:dyDescent="0.35">
      <c r="A3">
        <v>1</v>
      </c>
      <c r="B3">
        <v>1</v>
      </c>
      <c r="C3" t="s">
        <v>5</v>
      </c>
      <c r="D3" t="s">
        <v>6</v>
      </c>
      <c r="E3" t="s">
        <v>87</v>
      </c>
      <c r="F3" s="1" t="s">
        <v>56</v>
      </c>
      <c r="G3" s="4">
        <v>7.99</v>
      </c>
      <c r="H3" s="4">
        <f>IFERROR(G3*B3, 0)</f>
        <v>7.99</v>
      </c>
      <c r="K3">
        <v>1</v>
      </c>
      <c r="L3">
        <v>4</v>
      </c>
      <c r="M3" t="s">
        <v>67</v>
      </c>
      <c r="N3" s="1" t="s">
        <v>78</v>
      </c>
      <c r="O3" s="3">
        <f>8.59/750</f>
        <v>1.1453333333333333E-2</v>
      </c>
      <c r="P3" s="4">
        <f>IFERROR(O3*L3, 0)</f>
        <v>4.5813333333333331E-2</v>
      </c>
    </row>
    <row r="4" spans="1:16" x14ac:dyDescent="0.35">
      <c r="A4">
        <v>2</v>
      </c>
      <c r="B4">
        <v>1</v>
      </c>
      <c r="C4" t="s">
        <v>7</v>
      </c>
      <c r="D4" t="s">
        <v>8</v>
      </c>
      <c r="E4" t="s">
        <v>86</v>
      </c>
      <c r="F4" s="1" t="s">
        <v>57</v>
      </c>
      <c r="G4" s="4">
        <f>14.99/650</f>
        <v>2.3061538461538463E-2</v>
      </c>
      <c r="H4" s="4">
        <f t="shared" ref="H4:H22" si="0">IFERROR(G4*B4, 0)</f>
        <v>2.3061538461538463E-2</v>
      </c>
      <c r="K4">
        <v>2</v>
      </c>
      <c r="L4">
        <v>2</v>
      </c>
      <c r="M4" t="s">
        <v>68</v>
      </c>
      <c r="N4" s="1" t="s">
        <v>79</v>
      </c>
      <c r="O4" s="3">
        <f t="shared" ref="O4:O5" si="1">8.59/750</f>
        <v>1.1453333333333333E-2</v>
      </c>
      <c r="P4" s="4">
        <f>IFERROR(O4*L4, 0)</f>
        <v>2.2906666666666665E-2</v>
      </c>
    </row>
    <row r="5" spans="1:16" x14ac:dyDescent="0.35">
      <c r="A5">
        <v>3</v>
      </c>
      <c r="B5">
        <v>4</v>
      </c>
      <c r="C5" t="s">
        <v>9</v>
      </c>
      <c r="D5" t="s">
        <v>10</v>
      </c>
      <c r="E5" t="s">
        <v>86</v>
      </c>
      <c r="F5" t="s">
        <v>57</v>
      </c>
      <c r="G5" s="4">
        <f>14.99/650</f>
        <v>2.3061538461538463E-2</v>
      </c>
      <c r="H5" s="4">
        <f t="shared" si="0"/>
        <v>9.2246153846153853E-2</v>
      </c>
      <c r="K5">
        <v>3</v>
      </c>
      <c r="L5">
        <v>4</v>
      </c>
      <c r="M5" t="s">
        <v>69</v>
      </c>
      <c r="N5" s="1" t="s">
        <v>80</v>
      </c>
      <c r="O5" s="3">
        <f t="shared" si="1"/>
        <v>1.1453333333333333E-2</v>
      </c>
      <c r="P5" s="4">
        <f>IFERROR(O5*L5, 0)</f>
        <v>4.5813333333333331E-2</v>
      </c>
    </row>
    <row r="6" spans="1:16" x14ac:dyDescent="0.35">
      <c r="A6">
        <v>4</v>
      </c>
      <c r="B6">
        <v>1</v>
      </c>
      <c r="C6" t="s">
        <v>11</v>
      </c>
      <c r="D6" t="s">
        <v>12</v>
      </c>
      <c r="E6" t="s">
        <v>13</v>
      </c>
      <c r="F6" t="s">
        <v>55</v>
      </c>
      <c r="G6" s="4">
        <f>9.99/2</f>
        <v>4.9950000000000001</v>
      </c>
      <c r="H6" s="4">
        <f t="shared" si="0"/>
        <v>4.9950000000000001</v>
      </c>
      <c r="K6">
        <v>4</v>
      </c>
      <c r="L6">
        <v>2</v>
      </c>
      <c r="M6" t="s">
        <v>71</v>
      </c>
      <c r="N6" t="s">
        <v>70</v>
      </c>
      <c r="O6" s="3">
        <v>1.57</v>
      </c>
      <c r="P6" s="4">
        <f>IFERROR(O6*L6, 0)</f>
        <v>3.14</v>
      </c>
    </row>
    <row r="7" spans="1:16" x14ac:dyDescent="0.35">
      <c r="A7">
        <v>5</v>
      </c>
      <c r="B7">
        <v>1</v>
      </c>
      <c r="C7" t="s">
        <v>14</v>
      </c>
      <c r="D7" t="s">
        <v>15</v>
      </c>
      <c r="E7" t="s">
        <v>16</v>
      </c>
      <c r="F7" t="s">
        <v>58</v>
      </c>
      <c r="G7" s="4">
        <f>8.99/110</f>
        <v>8.1727272727272732E-2</v>
      </c>
      <c r="H7" s="4">
        <f t="shared" si="0"/>
        <v>8.1727272727272732E-2</v>
      </c>
      <c r="K7">
        <v>5</v>
      </c>
      <c r="L7">
        <v>2</v>
      </c>
      <c r="M7" t="s">
        <v>72</v>
      </c>
      <c r="N7" t="s">
        <v>77</v>
      </c>
      <c r="O7" s="3">
        <v>0.17</v>
      </c>
      <c r="P7" s="4">
        <f>IFERROR(O7*L7, 0)</f>
        <v>0.34</v>
      </c>
    </row>
    <row r="8" spans="1:16" x14ac:dyDescent="0.35">
      <c r="A8">
        <v>6</v>
      </c>
      <c r="B8">
        <v>1</v>
      </c>
      <c r="C8" t="s">
        <v>17</v>
      </c>
      <c r="D8" t="s">
        <v>18</v>
      </c>
      <c r="E8" t="s">
        <v>19</v>
      </c>
      <c r="F8" t="s">
        <v>58</v>
      </c>
      <c r="G8" s="4"/>
      <c r="H8" s="4">
        <f t="shared" si="0"/>
        <v>0</v>
      </c>
      <c r="K8">
        <v>6</v>
      </c>
      <c r="L8">
        <v>2</v>
      </c>
      <c r="M8" t="s">
        <v>73</v>
      </c>
      <c r="N8" t="s">
        <v>77</v>
      </c>
      <c r="O8" s="3">
        <v>0.17</v>
      </c>
      <c r="P8" s="4">
        <f>IFERROR(O8*L8, 0)</f>
        <v>0.34</v>
      </c>
    </row>
    <row r="9" spans="1:16" x14ac:dyDescent="0.35">
      <c r="A9">
        <v>7</v>
      </c>
      <c r="B9">
        <v>1</v>
      </c>
      <c r="C9" t="s">
        <v>20</v>
      </c>
      <c r="D9" t="s">
        <v>21</v>
      </c>
      <c r="E9" t="s">
        <v>16</v>
      </c>
      <c r="F9" t="s">
        <v>58</v>
      </c>
      <c r="G9" s="4"/>
      <c r="H9" s="4">
        <f t="shared" si="0"/>
        <v>0</v>
      </c>
      <c r="K9">
        <v>7</v>
      </c>
      <c r="L9">
        <v>2</v>
      </c>
      <c r="M9" t="s">
        <v>74</v>
      </c>
      <c r="N9" t="s">
        <v>77</v>
      </c>
      <c r="O9" s="3">
        <v>0.02</v>
      </c>
      <c r="P9" s="4">
        <f>IFERROR(O9*L9, 0)</f>
        <v>0.04</v>
      </c>
    </row>
    <row r="10" spans="1:16" x14ac:dyDescent="0.35">
      <c r="A10">
        <v>8</v>
      </c>
      <c r="B10">
        <v>1</v>
      </c>
      <c r="C10" t="s">
        <v>22</v>
      </c>
      <c r="D10" t="s">
        <v>23</v>
      </c>
      <c r="E10" t="s">
        <v>24</v>
      </c>
      <c r="F10" t="s">
        <v>58</v>
      </c>
      <c r="G10" s="4"/>
      <c r="H10" s="4">
        <f t="shared" si="0"/>
        <v>0</v>
      </c>
      <c r="K10">
        <v>8</v>
      </c>
      <c r="L10">
        <v>1</v>
      </c>
      <c r="M10" t="s">
        <v>75</v>
      </c>
      <c r="N10" t="s">
        <v>77</v>
      </c>
      <c r="O10" s="3">
        <v>0.36</v>
      </c>
      <c r="P10" s="4">
        <f>IFERROR(O10*L10, 0)</f>
        <v>0.36</v>
      </c>
    </row>
    <row r="11" spans="1:16" x14ac:dyDescent="0.35">
      <c r="A11">
        <v>9</v>
      </c>
      <c r="B11">
        <v>4</v>
      </c>
      <c r="C11" t="s">
        <v>25</v>
      </c>
      <c r="D11" t="s">
        <v>26</v>
      </c>
      <c r="E11" t="s">
        <v>27</v>
      </c>
      <c r="F11" t="s">
        <v>58</v>
      </c>
      <c r="G11" s="4"/>
      <c r="H11" s="4">
        <f t="shared" si="0"/>
        <v>0</v>
      </c>
      <c r="K11">
        <v>9</v>
      </c>
      <c r="L11">
        <v>1</v>
      </c>
      <c r="M11" t="s">
        <v>76</v>
      </c>
      <c r="N11" t="s">
        <v>77</v>
      </c>
      <c r="O11" s="3">
        <v>0.47</v>
      </c>
      <c r="P11" s="4">
        <f>IFERROR(O11*L11, 0)</f>
        <v>0.47</v>
      </c>
    </row>
    <row r="12" spans="1:16" x14ac:dyDescent="0.35">
      <c r="A12">
        <v>10</v>
      </c>
      <c r="B12">
        <v>2</v>
      </c>
      <c r="C12" t="s">
        <v>28</v>
      </c>
      <c r="D12" t="s">
        <v>29</v>
      </c>
      <c r="E12" t="s">
        <v>88</v>
      </c>
      <c r="F12" s="5" t="s">
        <v>63</v>
      </c>
      <c r="G12" s="4">
        <f>6.79/10</f>
        <v>0.67900000000000005</v>
      </c>
      <c r="H12" s="4">
        <f t="shared" si="0"/>
        <v>1.3580000000000001</v>
      </c>
      <c r="K12">
        <v>10</v>
      </c>
      <c r="L12">
        <v>1</v>
      </c>
      <c r="M12" t="s">
        <v>81</v>
      </c>
      <c r="N12" t="s">
        <v>77</v>
      </c>
      <c r="O12" s="3">
        <v>0.01</v>
      </c>
      <c r="P12" s="4">
        <f>IFERROR(O12*L12, 0)</f>
        <v>0.01</v>
      </c>
    </row>
    <row r="13" spans="1:16" x14ac:dyDescent="0.35">
      <c r="A13">
        <v>11</v>
      </c>
      <c r="B13">
        <v>2</v>
      </c>
      <c r="C13" t="s">
        <v>30</v>
      </c>
      <c r="D13" t="s">
        <v>31</v>
      </c>
      <c r="E13" t="s">
        <v>32</v>
      </c>
      <c r="F13" s="2" t="s">
        <v>51</v>
      </c>
      <c r="G13" s="4">
        <v>0.37</v>
      </c>
      <c r="H13" s="4">
        <f t="shared" si="0"/>
        <v>0.74</v>
      </c>
      <c r="K13">
        <v>11</v>
      </c>
      <c r="L13">
        <v>1</v>
      </c>
      <c r="M13" t="s">
        <v>82</v>
      </c>
      <c r="N13" t="s">
        <v>77</v>
      </c>
      <c r="O13" s="3">
        <v>0.01</v>
      </c>
      <c r="P13" s="4">
        <f>IFERROR(O13*L13, 0)</f>
        <v>0.01</v>
      </c>
    </row>
    <row r="14" spans="1:16" x14ac:dyDescent="0.35">
      <c r="A14">
        <v>12</v>
      </c>
      <c r="B14">
        <v>2</v>
      </c>
      <c r="C14" t="s">
        <v>33</v>
      </c>
      <c r="D14" t="s">
        <v>34</v>
      </c>
      <c r="E14" t="s">
        <v>35</v>
      </c>
      <c r="F14" t="s">
        <v>62</v>
      </c>
      <c r="G14" s="4">
        <f>7.59/200</f>
        <v>3.7949999999999998E-2</v>
      </c>
      <c r="H14" s="4">
        <f t="shared" si="0"/>
        <v>7.5899999999999995E-2</v>
      </c>
      <c r="O14" s="3"/>
      <c r="P14" s="4">
        <f>IFERROR(O14*L14, 0)</f>
        <v>0</v>
      </c>
    </row>
    <row r="15" spans="1:16" x14ac:dyDescent="0.35">
      <c r="A15">
        <v>13</v>
      </c>
      <c r="B15">
        <v>1</v>
      </c>
      <c r="C15" t="s">
        <v>36</v>
      </c>
      <c r="D15">
        <v>220</v>
      </c>
      <c r="E15" t="s">
        <v>85</v>
      </c>
      <c r="F15" s="1" t="s">
        <v>59</v>
      </c>
      <c r="G15" s="4">
        <f>7.99/525</f>
        <v>1.521904761904762E-2</v>
      </c>
      <c r="H15" s="4">
        <f t="shared" si="0"/>
        <v>1.521904761904762E-2</v>
      </c>
      <c r="O15" s="3"/>
      <c r="P15" s="4">
        <f>IFERROR(O15*L15, 0)</f>
        <v>0</v>
      </c>
    </row>
    <row r="16" spans="1:16" x14ac:dyDescent="0.35">
      <c r="A16">
        <v>14</v>
      </c>
      <c r="B16">
        <v>2</v>
      </c>
      <c r="C16" t="s">
        <v>37</v>
      </c>
      <c r="D16" t="s">
        <v>38</v>
      </c>
      <c r="E16" t="s">
        <v>85</v>
      </c>
      <c r="F16" t="s">
        <v>59</v>
      </c>
      <c r="G16" s="4">
        <f t="shared" ref="G16:G18" si="2">7.99/525</f>
        <v>1.521904761904762E-2</v>
      </c>
      <c r="H16" s="4">
        <f t="shared" si="0"/>
        <v>3.043809523809524E-2</v>
      </c>
      <c r="O16" s="3"/>
      <c r="P16" s="4">
        <f>IFERROR(O16*L16, 0)</f>
        <v>0</v>
      </c>
    </row>
    <row r="17" spans="1:16" x14ac:dyDescent="0.35">
      <c r="A17">
        <v>15</v>
      </c>
      <c r="B17">
        <v>4</v>
      </c>
      <c r="C17" t="s">
        <v>39</v>
      </c>
      <c r="D17" t="s">
        <v>40</v>
      </c>
      <c r="E17" t="s">
        <v>85</v>
      </c>
      <c r="F17" t="s">
        <v>59</v>
      </c>
      <c r="G17" s="4">
        <f t="shared" si="2"/>
        <v>1.521904761904762E-2</v>
      </c>
      <c r="H17" s="4">
        <f t="shared" si="0"/>
        <v>6.087619047619048E-2</v>
      </c>
      <c r="O17" s="3"/>
      <c r="P17" s="4">
        <f>IFERROR(O17*L17, 0)</f>
        <v>0</v>
      </c>
    </row>
    <row r="18" spans="1:16" x14ac:dyDescent="0.35">
      <c r="A18">
        <v>16</v>
      </c>
      <c r="B18">
        <v>2</v>
      </c>
      <c r="C18" t="s">
        <v>41</v>
      </c>
      <c r="D18">
        <v>100</v>
      </c>
      <c r="E18" t="s">
        <v>85</v>
      </c>
      <c r="F18" t="s">
        <v>59</v>
      </c>
      <c r="G18" s="4">
        <f t="shared" si="2"/>
        <v>1.521904761904762E-2</v>
      </c>
      <c r="H18" s="4">
        <f t="shared" si="0"/>
        <v>3.043809523809524E-2</v>
      </c>
      <c r="O18" s="3"/>
      <c r="P18" s="4">
        <f>IFERROR(O18*L18, 0)</f>
        <v>0</v>
      </c>
    </row>
    <row r="19" spans="1:16" x14ac:dyDescent="0.35">
      <c r="A19">
        <v>17</v>
      </c>
      <c r="B19">
        <v>1</v>
      </c>
      <c r="C19" t="s">
        <v>42</v>
      </c>
      <c r="D19" t="s">
        <v>43</v>
      </c>
      <c r="E19" t="s">
        <v>44</v>
      </c>
      <c r="F19" s="2" t="s">
        <v>54</v>
      </c>
      <c r="G19" s="4">
        <v>3.34</v>
      </c>
      <c r="H19" s="4">
        <f t="shared" si="0"/>
        <v>3.34</v>
      </c>
      <c r="N19" s="2"/>
      <c r="O19" s="3"/>
      <c r="P19" s="4">
        <f>IFERROR(O19*L19, 0)</f>
        <v>0</v>
      </c>
    </row>
    <row r="20" spans="1:16" x14ac:dyDescent="0.35">
      <c r="A20">
        <v>18</v>
      </c>
      <c r="B20">
        <v>3</v>
      </c>
      <c r="C20" t="s">
        <v>45</v>
      </c>
      <c r="D20" t="s">
        <v>46</v>
      </c>
      <c r="E20" t="s">
        <v>47</v>
      </c>
      <c r="F20" s="2" t="s">
        <v>53</v>
      </c>
      <c r="G20" s="4">
        <v>0.13</v>
      </c>
      <c r="H20" s="4">
        <f t="shared" si="0"/>
        <v>0.39</v>
      </c>
      <c r="N20" s="2"/>
      <c r="O20" s="3"/>
      <c r="P20" s="4">
        <f>IFERROR(O20*L20, 0)</f>
        <v>0</v>
      </c>
    </row>
    <row r="21" spans="1:16" x14ac:dyDescent="0.35">
      <c r="A21">
        <v>19</v>
      </c>
      <c r="B21">
        <v>1</v>
      </c>
      <c r="C21" t="s">
        <v>64</v>
      </c>
      <c r="D21" t="s">
        <v>64</v>
      </c>
      <c r="E21" t="s">
        <v>52</v>
      </c>
      <c r="F21" s="2" t="s">
        <v>50</v>
      </c>
      <c r="G21" s="4">
        <f>16.19/100*(2*9.84252)</f>
        <v>3.1870079760000003</v>
      </c>
      <c r="H21" s="4">
        <f t="shared" si="0"/>
        <v>3.1870079760000003</v>
      </c>
      <c r="N21" s="2"/>
      <c r="O21" s="3"/>
      <c r="P21" s="4">
        <f>IFERROR(O21*L21, 0)</f>
        <v>0</v>
      </c>
    </row>
    <row r="22" spans="1:16" x14ac:dyDescent="0.35">
      <c r="A22">
        <v>20</v>
      </c>
      <c r="B22">
        <v>4</v>
      </c>
      <c r="C22" t="s">
        <v>64</v>
      </c>
      <c r="D22" t="s">
        <v>64</v>
      </c>
      <c r="E22" t="s">
        <v>84</v>
      </c>
      <c r="F22" t="s">
        <v>83</v>
      </c>
      <c r="G22" s="4">
        <f>6.98/120</f>
        <v>5.8166666666666672E-2</v>
      </c>
      <c r="H22" s="4">
        <f t="shared" ref="H22" si="3">IFERROR(G22*B22, 0)</f>
        <v>0.23266666666666669</v>
      </c>
      <c r="P22" s="4">
        <f>IFERROR(SUM(P3:P21), 0)</f>
        <v>4.8245333333333322</v>
      </c>
    </row>
    <row r="23" spans="1:16" x14ac:dyDescent="0.35">
      <c r="H23" s="4">
        <f>IFERROR(SUM(H3:H22), 0)</f>
        <v>22.642581036273061</v>
      </c>
    </row>
  </sheetData>
  <phoneticPr fontId="19" type="noConversion"/>
  <hyperlinks>
    <hyperlink ref="F3" r:id="rId1" xr:uid="{A0796B04-06F4-409C-8E51-DFEEA1607856}"/>
    <hyperlink ref="F4" r:id="rId2" xr:uid="{522F4C4A-6283-402C-A529-805282EBD958}"/>
    <hyperlink ref="F15" r:id="rId3" xr:uid="{FFC3702A-9079-421A-9507-7B3AE9155A3E}"/>
    <hyperlink ref="F12" r:id="rId4" xr:uid="{C742CDDE-E915-4F0E-A3C0-7B7FF92209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PhotogateBOM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nchiu3</cp:lastModifiedBy>
  <dcterms:created xsi:type="dcterms:W3CDTF">2026-05-01T05:44:42Z</dcterms:created>
  <dcterms:modified xsi:type="dcterms:W3CDTF">2026-05-02T06:17:59Z</dcterms:modified>
</cp:coreProperties>
</file>